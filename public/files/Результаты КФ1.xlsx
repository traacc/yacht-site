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59568a9dda65e7/_Проект FREEDOM/АССОЦИАЦИЯ/СОРЕВНОВАНИЯ/Кубок Федерации 1й этап/"/>
    </mc:Choice>
  </mc:AlternateContent>
  <xr:revisionPtr revIDLastSave="349" documentId="8_{6112B94A-0E90-4B06-92A0-EA70C2F23A08}" xr6:coauthVersionLast="47" xr6:coauthVersionMax="47" xr10:uidLastSave="{E9A80FE8-ABD3-4E9D-9B3A-D6A45C61631C}"/>
  <bookViews>
    <workbookView xWindow="17" yWindow="17" windowWidth="32897" windowHeight="17777" xr2:uid="{44D5CFFF-0717-4F98-B63B-EB604ACE12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8" i="1" l="1"/>
  <c r="T53" i="1"/>
  <c r="T45" i="1"/>
  <c r="T39" i="1"/>
  <c r="T35" i="1"/>
  <c r="T26" i="1"/>
  <c r="T19" i="1"/>
  <c r="T12" i="1"/>
  <c r="T7" i="1"/>
</calcChain>
</file>

<file path=xl/sharedStrings.xml><?xml version="1.0" encoding="utf-8"?>
<sst xmlns="http://schemas.openxmlformats.org/spreadsheetml/2006/main" count="189" uniqueCount="109">
  <si>
    <t>Яхта</t>
  </si>
  <si>
    <t>Экипаж</t>
  </si>
  <si>
    <t>Место</t>
  </si>
  <si>
    <t>Очки</t>
  </si>
  <si>
    <t>RUS 416</t>
  </si>
  <si>
    <t>Грач</t>
  </si>
  <si>
    <t>Пешкова Ксения Андреевна</t>
  </si>
  <si>
    <t>RUS 549</t>
  </si>
  <si>
    <t>Корфу</t>
  </si>
  <si>
    <t>RUS 200</t>
  </si>
  <si>
    <t>Freedom</t>
  </si>
  <si>
    <t>RUS 514</t>
  </si>
  <si>
    <t>Porto Ruby</t>
  </si>
  <si>
    <t>Барс</t>
  </si>
  <si>
    <t>RUS 501</t>
  </si>
  <si>
    <t>Тим</t>
  </si>
  <si>
    <t>RUS 333</t>
  </si>
  <si>
    <t>Victory</t>
  </si>
  <si>
    <t>Легенда</t>
  </si>
  <si>
    <t>RUS 547</t>
  </si>
  <si>
    <t>Каримов Андрей Викторович</t>
  </si>
  <si>
    <t>(4,5)</t>
  </si>
  <si>
    <t>(6)</t>
  </si>
  <si>
    <t>(7)</t>
  </si>
  <si>
    <t>(8)</t>
  </si>
  <si>
    <t>(10)</t>
  </si>
  <si>
    <t>(5)</t>
  </si>
  <si>
    <t>Гонка 1</t>
  </si>
  <si>
    <t>Гонка 2</t>
  </si>
  <si>
    <t>Гонка 3</t>
  </si>
  <si>
    <t>Гонка 4</t>
  </si>
  <si>
    <t>Гонка 5</t>
  </si>
  <si>
    <t>Гонка 6</t>
  </si>
  <si>
    <t>Итого</t>
  </si>
  <si>
    <t>очков</t>
  </si>
  <si>
    <t>СССР</t>
  </si>
  <si>
    <t>RUS 473</t>
  </si>
  <si>
    <t>Парус №</t>
  </si>
  <si>
    <t>Команда</t>
  </si>
  <si>
    <t>Freedom
Sailing Team</t>
  </si>
  <si>
    <t>Зачётная группа Carter 30</t>
  </si>
  <si>
    <t>Открытая парусная регата «Кубок Федерации», 1й этап</t>
  </si>
  <si>
    <t>город Москва, Клязьминское Водохранилище. 30-31 мая 2026 года</t>
  </si>
  <si>
    <t>Разряд</t>
  </si>
  <si>
    <t>б/р</t>
  </si>
  <si>
    <t>КМС</t>
  </si>
  <si>
    <t>МС</t>
  </si>
  <si>
    <t>ЗМС</t>
  </si>
  <si>
    <t>МСМК</t>
  </si>
  <si>
    <t>Дата рождения</t>
  </si>
  <si>
    <t>Иссакян Евгений</t>
  </si>
  <si>
    <t>Орешников Алексей Геннадьевич</t>
  </si>
  <si>
    <t>Тутук Александр Владимирович</t>
  </si>
  <si>
    <t>Скребнев Юрий Владимирович</t>
  </si>
  <si>
    <t>Скалин Игорь Анатольевич</t>
  </si>
  <si>
    <t>Чупров Антон Борисович</t>
  </si>
  <si>
    <t>Капитонов Владислав Владимирович</t>
  </si>
  <si>
    <t>Леонтьев Дмитрий Владимирович</t>
  </si>
  <si>
    <t>Пульков Сергей Владимирович</t>
  </si>
  <si>
    <t>Ушков Валерий Михайлович</t>
  </si>
  <si>
    <t>Крылов Алексей Алексеевич</t>
  </si>
  <si>
    <t>Попов Анатолий Леонидович</t>
  </si>
  <si>
    <t>Чередников Ярослав Валерьевич</t>
  </si>
  <si>
    <t>Ромашов Константин Викторович</t>
  </si>
  <si>
    <t>Попов Константин Леонидович</t>
  </si>
  <si>
    <t xml:space="preserve">Сафронюк Андрей Владиславович </t>
  </si>
  <si>
    <t xml:space="preserve">Егоров Иван Вадимович </t>
  </si>
  <si>
    <t>Правдиков Никита Андреевич</t>
  </si>
  <si>
    <t xml:space="preserve">Маслов Андрей Олегович </t>
  </si>
  <si>
    <t xml:space="preserve">Снигур Ольга Валерьевна </t>
  </si>
  <si>
    <t xml:space="preserve">Первушин Григорий Олегович </t>
  </si>
  <si>
    <t>Львова Ксения Игоревна</t>
  </si>
  <si>
    <t>Саранцев Кирил Андреевич</t>
  </si>
  <si>
    <t>Горьковенко Николай</t>
  </si>
  <si>
    <t>Жганова Наталья Юрьевна</t>
  </si>
  <si>
    <t>Щенников Святослав Игоревич</t>
  </si>
  <si>
    <t>Сидоров Владимиро</t>
  </si>
  <si>
    <t xml:space="preserve">Окороков Иван Борисович </t>
  </si>
  <si>
    <t>Чех Ян Владиславович</t>
  </si>
  <si>
    <t>Рожков Денис Александрович</t>
  </si>
  <si>
    <t xml:space="preserve">Тагиев Иван Иванович </t>
  </si>
  <si>
    <t>Суслов Александр</t>
  </si>
  <si>
    <t>Данилов Алексей</t>
  </si>
  <si>
    <t xml:space="preserve">Данилова Мария </t>
  </si>
  <si>
    <t xml:space="preserve">Кольцов Игорь </t>
  </si>
  <si>
    <t>Сенашенко Дмитрий</t>
  </si>
  <si>
    <t xml:space="preserve">Степанов Сергей </t>
  </si>
  <si>
    <t>Потапов Яков Викторович</t>
  </si>
  <si>
    <t>Потапов Виктор Яковлевич</t>
  </si>
  <si>
    <t>Сафонов Алексей Олегович</t>
  </si>
  <si>
    <t>Краснова Екатерина Николаевна</t>
  </si>
  <si>
    <t>Марук Сергей Александрович</t>
  </si>
  <si>
    <t>Тиханович Александр Александрович</t>
  </si>
  <si>
    <t>Силаев Сергей Борисович</t>
  </si>
  <si>
    <t>Гусев Борис Александрович</t>
  </si>
  <si>
    <t xml:space="preserve">Пронин Владимир Викторович </t>
  </si>
  <si>
    <t>Шишеморов Николай Юрьевич</t>
  </si>
  <si>
    <t>Лебедев Александр Романович</t>
  </si>
  <si>
    <t>Асриян Илья Владимирович</t>
  </si>
  <si>
    <t xml:space="preserve">Климов Владимир Валерьевич </t>
  </si>
  <si>
    <t>Лебедев Евгений Дмитриевич</t>
  </si>
  <si>
    <t xml:space="preserve">Васильев Михаил Сергеевич </t>
  </si>
  <si>
    <t>Шарапова Ирина Владимироана</t>
  </si>
  <si>
    <t>Иванов Максим Владимирович</t>
  </si>
  <si>
    <t>Смелов Вячеслав Викторович</t>
  </si>
  <si>
    <t>(dnf)</t>
  </si>
  <si>
    <t>dnf</t>
  </si>
  <si>
    <t>(dns)</t>
  </si>
  <si>
    <t>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</si>
</sst>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b/>
      <sz val="8"/>
      <color theme="1"/>
      <name val="Aptos Display"/>
      <family val="2"/>
      <scheme val="major"/>
    </font>
    <font>
      <sz val="8"/>
      <color theme="1"/>
      <name val="Aptos Display"/>
      <family val="2"/>
      <scheme val="major"/>
    </font>
    <font>
      <b/>
      <sz val="8"/>
      <color rgb="FF000000"/>
      <name val="Aptos Display"/>
      <family val="2"/>
      <scheme val="major"/>
    </font>
    <font>
      <b/>
      <sz val="6"/>
      <color rgb="FF000000"/>
      <name val="Aptos Display"/>
      <family val="2"/>
      <scheme val="major"/>
    </font>
    <font>
      <b/>
      <sz val="6"/>
      <color theme="1"/>
      <name val="Aptos Display"/>
      <family val="2"/>
      <scheme val="major"/>
    </font>
    <font>
      <sz val="6"/>
      <color theme="1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7"/>
      <color theme="1"/>
      <name val="Aptos Display"/>
      <family val="2"/>
      <scheme val="major"/>
    </font>
    <font>
      <sz val="7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/>
    </xf>
    <xf numFmtId="4" fontId="8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4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115081</xdr:colOff>
      <xdr:row>0</xdr:row>
      <xdr:rowOff>43541</xdr:rowOff>
    </xdr:from>
    <xdr:to>
      <xdr:col>4</xdr:col>
      <xdr:colOff>1033839</xdr:colOff>
      <xdr:row>2</xdr:row>
      <xdr:rowOff>65313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33A20D2-02C5-710E-4467-0271E8D91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552" y="43541"/>
          <a:ext cx="2729137" cy="370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033E-E04F-4E83-8D38-0E19BFE7F38C}">
  <dimension ref="A1:T64"/>
  <sheetViews>
    <sheetView tabSelected="1" zoomScale="130" zoomScaleNormal="130" workbookViewId="0">
      <selection activeCell="V18" sqref="V18"/>
    </sheetView>
  </sheetViews>
  <sheetFormatPr defaultRowHeight="10.75" x14ac:dyDescent="0.4"/>
  <cols>
    <col min="1" max="1" width="5.23046875" style="1" customWidth="1"/>
    <col min="2" max="2" width="6.69140625" style="1" bestFit="1" customWidth="1"/>
    <col min="3" max="3" width="8.69140625" style="6" bestFit="1" customWidth="1"/>
    <col min="4" max="4" width="10.15234375" style="6" customWidth="1"/>
    <col min="5" max="5" width="17.765625" style="11" bestFit="1" customWidth="1"/>
    <col min="6" max="6" width="7.4609375" style="16" customWidth="1"/>
    <col min="7" max="7" width="6" style="14" customWidth="1"/>
    <col min="8" max="8" width="4.765625" style="7" bestFit="1" customWidth="1"/>
    <col min="9" max="9" width="4" style="8" bestFit="1" customWidth="1"/>
    <col min="10" max="10" width="4.765625" style="7" bestFit="1" customWidth="1"/>
    <col min="11" max="11" width="4" style="8" bestFit="1" customWidth="1"/>
    <col min="12" max="12" width="4.765625" style="7" bestFit="1" customWidth="1"/>
    <col min="13" max="13" width="4" style="8" bestFit="1" customWidth="1"/>
    <col min="14" max="14" width="4.765625" style="7" bestFit="1" customWidth="1"/>
    <col min="15" max="15" width="4" style="8" bestFit="1" customWidth="1"/>
    <col min="16" max="16" width="4.765625" style="7" bestFit="1" customWidth="1"/>
    <col min="17" max="17" width="4" style="8" bestFit="1" customWidth="1"/>
    <col min="18" max="18" width="4.765625" style="7" bestFit="1" customWidth="1"/>
    <col min="19" max="19" width="4" style="8" bestFit="1" customWidth="1"/>
    <col min="20" max="20" width="9.23046875" style="9"/>
    <col min="21" max="16384" width="9.23046875" style="1"/>
  </cols>
  <sheetData>
    <row r="1" spans="1:20" ht="12.9" x14ac:dyDescent="0.4">
      <c r="A1" s="12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2"/>
    </row>
    <row r="2" spans="1:20" ht="14.6" customHeight="1" x14ac:dyDescent="0.4">
      <c r="A2" s="12" t="s">
        <v>40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3"/>
    </row>
    <row r="3" spans="1:20" s="4" customFormat="1" ht="12.9" x14ac:dyDescent="0.4">
      <c r="A3" s="12" t="s">
        <v>42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2"/>
    </row>
    <row r="4" spans="1:20" s="4" customFormat="1" ht="16.75" customHeight="1" x14ac:dyDescent="0.4">
      <c r="A4" s="5"/>
      <c r="B4" s="5"/>
      <c r="C4" s="5"/>
      <c r="D4" s="5"/>
      <c r="E4" s="10"/>
      <c r="F4" s="15"/>
      <c r="G4" s="1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2"/>
    </row>
    <row r="5" spans="1:20" s="28" customFormat="1" ht="9" x14ac:dyDescent="0.4">
      <c r="A5" s="23" t="s">
        <v>2</v>
      </c>
      <c r="B5" s="23" t="s">
        <v>37</v>
      </c>
      <c r="C5" s="24" t="s">
        <v>38</v>
      </c>
      <c r="D5" s="24" t="s">
        <v>0</v>
      </c>
      <c r="E5" s="23" t="s">
        <v>1</v>
      </c>
      <c r="F5" s="25" t="s">
        <v>49</v>
      </c>
      <c r="G5" s="23" t="s">
        <v>43</v>
      </c>
      <c r="H5" s="26" t="s">
        <v>27</v>
      </c>
      <c r="I5" s="26"/>
      <c r="J5" s="26" t="s">
        <v>28</v>
      </c>
      <c r="K5" s="26"/>
      <c r="L5" s="26" t="s">
        <v>29</v>
      </c>
      <c r="M5" s="26"/>
      <c r="N5" s="26" t="s">
        <v>30</v>
      </c>
      <c r="O5" s="26"/>
      <c r="P5" s="26" t="s">
        <v>31</v>
      </c>
      <c r="Q5" s="26"/>
      <c r="R5" s="26" t="s">
        <v>32</v>
      </c>
      <c r="S5" s="26"/>
      <c r="T5" s="27" t="s">
        <v>33</v>
      </c>
    </row>
    <row r="6" spans="1:20" s="28" customFormat="1" ht="15" customHeight="1" x14ac:dyDescent="0.4">
      <c r="A6" s="23"/>
      <c r="B6" s="23"/>
      <c r="C6" s="24"/>
      <c r="D6" s="24"/>
      <c r="E6" s="23"/>
      <c r="F6" s="25"/>
      <c r="G6" s="23"/>
      <c r="H6" s="29" t="s">
        <v>2</v>
      </c>
      <c r="I6" s="30" t="s">
        <v>3</v>
      </c>
      <c r="J6" s="29" t="s">
        <v>2</v>
      </c>
      <c r="K6" s="30" t="s">
        <v>3</v>
      </c>
      <c r="L6" s="29" t="s">
        <v>2</v>
      </c>
      <c r="M6" s="30" t="s">
        <v>3</v>
      </c>
      <c r="N6" s="29" t="s">
        <v>2</v>
      </c>
      <c r="O6" s="30" t="s">
        <v>3</v>
      </c>
      <c r="P6" s="29" t="s">
        <v>2</v>
      </c>
      <c r="Q6" s="30" t="s">
        <v>3</v>
      </c>
      <c r="R6" s="29" t="s">
        <v>2</v>
      </c>
      <c r="S6" s="30" t="s">
        <v>3</v>
      </c>
      <c r="T6" s="27" t="s">
        <v>34</v>
      </c>
    </row>
    <row r="7" spans="1:20" s="37" customFormat="1" ht="9.9" customHeight="1" x14ac:dyDescent="0.4">
      <c r="A7" s="43">
        <v>1</v>
      </c>
      <c r="B7" s="44" t="s">
        <v>4</v>
      </c>
      <c r="C7" s="45" t="s">
        <v>5</v>
      </c>
      <c r="D7" s="45" t="s">
        <v>5</v>
      </c>
      <c r="E7" s="46" t="s">
        <v>50</v>
      </c>
      <c r="F7" s="21">
        <v>27789</v>
      </c>
      <c r="G7" s="47" t="s">
        <v>44</v>
      </c>
      <c r="H7" s="48">
        <v>1</v>
      </c>
      <c r="I7" s="49">
        <v>1</v>
      </c>
      <c r="J7" s="48">
        <v>1</v>
      </c>
      <c r="K7" s="49">
        <v>1</v>
      </c>
      <c r="L7" s="48">
        <v>3</v>
      </c>
      <c r="M7" s="49">
        <v>3</v>
      </c>
      <c r="N7" s="48" t="s">
        <v>21</v>
      </c>
      <c r="O7" s="49" t="s">
        <v>21</v>
      </c>
      <c r="P7" s="48">
        <v>1</v>
      </c>
      <c r="Q7" s="49">
        <v>1</v>
      </c>
      <c r="R7" s="48">
        <v>1</v>
      </c>
      <c r="S7" s="49">
        <v>1</v>
      </c>
      <c r="T7" s="50">
        <f>I7+K7+M7+Q7+S7</f>
        <v>7</v>
      </c>
    </row>
    <row r="8" spans="1:20" s="37" customFormat="1" ht="9.9" customHeight="1" x14ac:dyDescent="0.4">
      <c r="A8" s="31"/>
      <c r="B8" s="32"/>
      <c r="C8" s="33"/>
      <c r="D8" s="33"/>
      <c r="E8" s="20" t="s">
        <v>51</v>
      </c>
      <c r="F8" s="18">
        <v>30707</v>
      </c>
      <c r="G8" s="19" t="s">
        <v>45</v>
      </c>
      <c r="H8" s="34"/>
      <c r="I8" s="35"/>
      <c r="J8" s="34"/>
      <c r="K8" s="35"/>
      <c r="L8" s="34"/>
      <c r="M8" s="35"/>
      <c r="N8" s="34"/>
      <c r="O8" s="35"/>
      <c r="P8" s="34"/>
      <c r="Q8" s="35"/>
      <c r="R8" s="34"/>
      <c r="S8" s="35"/>
      <c r="T8" s="36"/>
    </row>
    <row r="9" spans="1:20" s="37" customFormat="1" ht="9.9" customHeight="1" x14ac:dyDescent="0.4">
      <c r="A9" s="31"/>
      <c r="B9" s="32"/>
      <c r="C9" s="33"/>
      <c r="D9" s="33"/>
      <c r="E9" s="20" t="s">
        <v>52</v>
      </c>
      <c r="F9" s="18"/>
      <c r="G9" s="19" t="s">
        <v>46</v>
      </c>
      <c r="H9" s="34"/>
      <c r="I9" s="35"/>
      <c r="J9" s="34"/>
      <c r="K9" s="35"/>
      <c r="L9" s="34"/>
      <c r="M9" s="35"/>
      <c r="N9" s="34"/>
      <c r="O9" s="35"/>
      <c r="P9" s="34"/>
      <c r="Q9" s="35"/>
      <c r="R9" s="34"/>
      <c r="S9" s="35"/>
      <c r="T9" s="36"/>
    </row>
    <row r="10" spans="1:20" s="37" customFormat="1" ht="9.9" customHeight="1" x14ac:dyDescent="0.4">
      <c r="A10" s="31"/>
      <c r="B10" s="32"/>
      <c r="C10" s="33"/>
      <c r="D10" s="33"/>
      <c r="E10" s="20" t="s">
        <v>53</v>
      </c>
      <c r="F10" s="18"/>
      <c r="G10" s="19" t="s">
        <v>45</v>
      </c>
      <c r="H10" s="34"/>
      <c r="I10" s="35"/>
      <c r="J10" s="34"/>
      <c r="K10" s="35"/>
      <c r="L10" s="34"/>
      <c r="M10" s="35"/>
      <c r="N10" s="34"/>
      <c r="O10" s="35"/>
      <c r="P10" s="34"/>
      <c r="Q10" s="35"/>
      <c r="R10" s="34"/>
      <c r="S10" s="35"/>
      <c r="T10" s="36"/>
    </row>
    <row r="11" spans="1:20" s="37" customFormat="1" ht="9.9" customHeight="1" x14ac:dyDescent="0.4">
      <c r="A11" s="51"/>
      <c r="B11" s="52"/>
      <c r="C11" s="53"/>
      <c r="D11" s="53"/>
      <c r="E11" s="54" t="s">
        <v>6</v>
      </c>
      <c r="F11" s="22"/>
      <c r="G11" s="55" t="s">
        <v>44</v>
      </c>
      <c r="H11" s="56"/>
      <c r="I11" s="57"/>
      <c r="J11" s="56"/>
      <c r="K11" s="57"/>
      <c r="L11" s="56"/>
      <c r="M11" s="57"/>
      <c r="N11" s="56"/>
      <c r="O11" s="57"/>
      <c r="P11" s="56"/>
      <c r="Q11" s="57"/>
      <c r="R11" s="56"/>
      <c r="S11" s="57"/>
      <c r="T11" s="58"/>
    </row>
    <row r="12" spans="1:20" s="37" customFormat="1" ht="9.9" customHeight="1" x14ac:dyDescent="0.4">
      <c r="A12" s="32">
        <v>2</v>
      </c>
      <c r="B12" s="32" t="s">
        <v>7</v>
      </c>
      <c r="C12" s="33" t="s">
        <v>8</v>
      </c>
      <c r="D12" s="33" t="s">
        <v>8</v>
      </c>
      <c r="E12" s="17" t="s">
        <v>54</v>
      </c>
      <c r="F12" s="18">
        <v>25580</v>
      </c>
      <c r="G12" s="19" t="s">
        <v>47</v>
      </c>
      <c r="H12" s="34">
        <v>2</v>
      </c>
      <c r="I12" s="35">
        <v>2</v>
      </c>
      <c r="J12" s="34">
        <v>2</v>
      </c>
      <c r="K12" s="35">
        <v>2</v>
      </c>
      <c r="L12" s="34">
        <v>1</v>
      </c>
      <c r="M12" s="35">
        <v>1</v>
      </c>
      <c r="N12" s="34">
        <v>1</v>
      </c>
      <c r="O12" s="35">
        <v>1</v>
      </c>
      <c r="P12" s="34" t="s">
        <v>26</v>
      </c>
      <c r="Q12" s="35" t="s">
        <v>26</v>
      </c>
      <c r="R12" s="34">
        <v>4</v>
      </c>
      <c r="S12" s="35">
        <v>4</v>
      </c>
      <c r="T12" s="36">
        <f>I12+K12+M12+O12+S12</f>
        <v>10</v>
      </c>
    </row>
    <row r="13" spans="1:20" s="37" customFormat="1" ht="9.9" customHeight="1" x14ac:dyDescent="0.4">
      <c r="A13" s="32"/>
      <c r="B13" s="32"/>
      <c r="C13" s="33"/>
      <c r="D13" s="33"/>
      <c r="E13" s="20" t="s">
        <v>55</v>
      </c>
      <c r="F13" s="18">
        <v>25993</v>
      </c>
      <c r="G13" s="19" t="s">
        <v>46</v>
      </c>
      <c r="H13" s="34"/>
      <c r="I13" s="35"/>
      <c r="J13" s="34"/>
      <c r="K13" s="35"/>
      <c r="L13" s="34"/>
      <c r="M13" s="35"/>
      <c r="N13" s="34"/>
      <c r="O13" s="35"/>
      <c r="P13" s="34"/>
      <c r="Q13" s="35"/>
      <c r="R13" s="34"/>
      <c r="S13" s="35"/>
      <c r="T13" s="36"/>
    </row>
    <row r="14" spans="1:20" s="37" customFormat="1" ht="9.9" customHeight="1" x14ac:dyDescent="0.4">
      <c r="A14" s="32"/>
      <c r="B14" s="32"/>
      <c r="C14" s="33"/>
      <c r="D14" s="33"/>
      <c r="E14" s="20" t="s">
        <v>56</v>
      </c>
      <c r="F14" s="18">
        <v>29305</v>
      </c>
      <c r="G14" s="19" t="s">
        <v>48</v>
      </c>
      <c r="H14" s="34"/>
      <c r="I14" s="35"/>
      <c r="J14" s="34"/>
      <c r="K14" s="35"/>
      <c r="L14" s="34"/>
      <c r="M14" s="35"/>
      <c r="N14" s="34"/>
      <c r="O14" s="35"/>
      <c r="P14" s="34"/>
      <c r="Q14" s="35"/>
      <c r="R14" s="34"/>
      <c r="S14" s="35"/>
      <c r="T14" s="36"/>
    </row>
    <row r="15" spans="1:20" s="37" customFormat="1" ht="9.9" customHeight="1" x14ac:dyDescent="0.4">
      <c r="A15" s="32"/>
      <c r="B15" s="32"/>
      <c r="C15" s="33"/>
      <c r="D15" s="33"/>
      <c r="E15" s="20" t="s">
        <v>57</v>
      </c>
      <c r="F15" s="18"/>
      <c r="G15" s="19" t="s">
        <v>46</v>
      </c>
      <c r="H15" s="34"/>
      <c r="I15" s="35"/>
      <c r="J15" s="34"/>
      <c r="K15" s="35"/>
      <c r="L15" s="34"/>
      <c r="M15" s="35"/>
      <c r="N15" s="34"/>
      <c r="O15" s="35"/>
      <c r="P15" s="34"/>
      <c r="Q15" s="35"/>
      <c r="R15" s="34"/>
      <c r="S15" s="35"/>
      <c r="T15" s="36"/>
    </row>
    <row r="16" spans="1:20" s="37" customFormat="1" ht="9.9" customHeight="1" x14ac:dyDescent="0.4">
      <c r="A16" s="32"/>
      <c r="B16" s="32"/>
      <c r="C16" s="33"/>
      <c r="D16" s="33"/>
      <c r="E16" s="20" t="s">
        <v>58</v>
      </c>
      <c r="F16" s="18">
        <v>26255</v>
      </c>
      <c r="G16" s="19" t="s">
        <v>46</v>
      </c>
      <c r="H16" s="34"/>
      <c r="I16" s="35"/>
      <c r="J16" s="34"/>
      <c r="K16" s="35"/>
      <c r="L16" s="34"/>
      <c r="M16" s="35"/>
      <c r="N16" s="34"/>
      <c r="O16" s="35"/>
      <c r="P16" s="34"/>
      <c r="Q16" s="35"/>
      <c r="R16" s="34"/>
      <c r="S16" s="35"/>
      <c r="T16" s="36"/>
    </row>
    <row r="17" spans="1:20" s="37" customFormat="1" ht="9.9" customHeight="1" x14ac:dyDescent="0.4">
      <c r="A17" s="32"/>
      <c r="B17" s="32"/>
      <c r="C17" s="33"/>
      <c r="D17" s="33"/>
      <c r="E17" s="20" t="s">
        <v>59</v>
      </c>
      <c r="F17" s="18">
        <v>26297</v>
      </c>
      <c r="G17" s="19" t="s">
        <v>46</v>
      </c>
      <c r="H17" s="34"/>
      <c r="I17" s="35"/>
      <c r="J17" s="34"/>
      <c r="K17" s="35"/>
      <c r="L17" s="34"/>
      <c r="M17" s="35"/>
      <c r="N17" s="34"/>
      <c r="O17" s="35"/>
      <c r="P17" s="34"/>
      <c r="Q17" s="35"/>
      <c r="R17" s="34"/>
      <c r="S17" s="35"/>
      <c r="T17" s="36"/>
    </row>
    <row r="18" spans="1:20" s="37" customFormat="1" ht="9.9" customHeight="1" x14ac:dyDescent="0.4">
      <c r="A18" s="32"/>
      <c r="B18" s="32"/>
      <c r="C18" s="33"/>
      <c r="D18" s="33"/>
      <c r="E18" s="20" t="s">
        <v>60</v>
      </c>
      <c r="F18" s="18">
        <v>26784</v>
      </c>
      <c r="G18" s="19" t="s">
        <v>48</v>
      </c>
      <c r="H18" s="34"/>
      <c r="I18" s="35"/>
      <c r="J18" s="34"/>
      <c r="K18" s="35"/>
      <c r="L18" s="34"/>
      <c r="M18" s="35"/>
      <c r="N18" s="34"/>
      <c r="O18" s="35"/>
      <c r="P18" s="34"/>
      <c r="Q18" s="35"/>
      <c r="R18" s="34"/>
      <c r="S18" s="35"/>
      <c r="T18" s="36"/>
    </row>
    <row r="19" spans="1:20" s="37" customFormat="1" ht="9.9" customHeight="1" x14ac:dyDescent="0.4">
      <c r="A19" s="44">
        <v>3</v>
      </c>
      <c r="B19" s="44" t="s">
        <v>9</v>
      </c>
      <c r="C19" s="45" t="s">
        <v>39</v>
      </c>
      <c r="D19" s="45" t="s">
        <v>10</v>
      </c>
      <c r="E19" s="46" t="s">
        <v>61</v>
      </c>
      <c r="F19" s="21">
        <v>27368</v>
      </c>
      <c r="G19" s="47" t="s">
        <v>45</v>
      </c>
      <c r="H19" s="48">
        <v>4</v>
      </c>
      <c r="I19" s="49">
        <v>4</v>
      </c>
      <c r="J19" s="48" t="s">
        <v>22</v>
      </c>
      <c r="K19" s="49" t="s">
        <v>22</v>
      </c>
      <c r="L19" s="48">
        <v>2</v>
      </c>
      <c r="M19" s="49">
        <v>2</v>
      </c>
      <c r="N19" s="48">
        <v>2</v>
      </c>
      <c r="O19" s="49">
        <v>2</v>
      </c>
      <c r="P19" s="48">
        <v>2</v>
      </c>
      <c r="Q19" s="49">
        <v>2</v>
      </c>
      <c r="R19" s="48">
        <v>2</v>
      </c>
      <c r="S19" s="49">
        <v>2</v>
      </c>
      <c r="T19" s="50">
        <f>I19+M19+O19+Q19+S19</f>
        <v>12</v>
      </c>
    </row>
    <row r="20" spans="1:20" s="37" customFormat="1" ht="9.9" customHeight="1" x14ac:dyDescent="0.4">
      <c r="A20" s="32"/>
      <c r="B20" s="32"/>
      <c r="C20" s="33"/>
      <c r="D20" s="33"/>
      <c r="E20" s="20" t="s">
        <v>65</v>
      </c>
      <c r="F20" s="18">
        <v>27528</v>
      </c>
      <c r="G20" s="19" t="s">
        <v>45</v>
      </c>
      <c r="H20" s="34"/>
      <c r="I20" s="35"/>
      <c r="J20" s="34"/>
      <c r="K20" s="35"/>
      <c r="L20" s="34"/>
      <c r="M20" s="35"/>
      <c r="N20" s="34"/>
      <c r="O20" s="35"/>
      <c r="P20" s="34"/>
      <c r="Q20" s="35"/>
      <c r="R20" s="34"/>
      <c r="S20" s="35"/>
      <c r="T20" s="36"/>
    </row>
    <row r="21" spans="1:20" s="37" customFormat="1" ht="9.9" customHeight="1" x14ac:dyDescent="0.4">
      <c r="A21" s="32"/>
      <c r="B21" s="32"/>
      <c r="C21" s="33"/>
      <c r="D21" s="33"/>
      <c r="E21" s="20" t="s">
        <v>62</v>
      </c>
      <c r="F21" s="18">
        <v>26017</v>
      </c>
      <c r="G21" s="19" t="s">
        <v>45</v>
      </c>
      <c r="H21" s="34"/>
      <c r="I21" s="35"/>
      <c r="J21" s="34"/>
      <c r="K21" s="35"/>
      <c r="L21" s="34"/>
      <c r="M21" s="35"/>
      <c r="N21" s="34"/>
      <c r="O21" s="35"/>
      <c r="P21" s="34"/>
      <c r="Q21" s="35"/>
      <c r="R21" s="34"/>
      <c r="S21" s="35"/>
      <c r="T21" s="36"/>
    </row>
    <row r="22" spans="1:20" s="37" customFormat="1" ht="9.9" customHeight="1" x14ac:dyDescent="0.4">
      <c r="A22" s="32"/>
      <c r="B22" s="32"/>
      <c r="C22" s="33"/>
      <c r="D22" s="33"/>
      <c r="E22" s="20" t="s">
        <v>63</v>
      </c>
      <c r="F22" s="18">
        <v>29909</v>
      </c>
      <c r="G22" s="19" t="s">
        <v>45</v>
      </c>
      <c r="H22" s="34"/>
      <c r="I22" s="35"/>
      <c r="J22" s="34"/>
      <c r="K22" s="35"/>
      <c r="L22" s="34"/>
      <c r="M22" s="35"/>
      <c r="N22" s="34"/>
      <c r="O22" s="35"/>
      <c r="P22" s="34"/>
      <c r="Q22" s="35"/>
      <c r="R22" s="34"/>
      <c r="S22" s="35"/>
      <c r="T22" s="36"/>
    </row>
    <row r="23" spans="1:20" s="37" customFormat="1" ht="9.9" customHeight="1" x14ac:dyDescent="0.4">
      <c r="A23" s="32"/>
      <c r="B23" s="32"/>
      <c r="C23" s="33"/>
      <c r="D23" s="33"/>
      <c r="E23" s="20" t="s">
        <v>66</v>
      </c>
      <c r="F23" s="18">
        <v>31604</v>
      </c>
      <c r="G23" s="19" t="s">
        <v>46</v>
      </c>
      <c r="H23" s="34"/>
      <c r="I23" s="35"/>
      <c r="J23" s="34"/>
      <c r="K23" s="35"/>
      <c r="L23" s="34"/>
      <c r="M23" s="35"/>
      <c r="N23" s="34"/>
      <c r="O23" s="35"/>
      <c r="P23" s="34"/>
      <c r="Q23" s="35"/>
      <c r="R23" s="34"/>
      <c r="S23" s="35"/>
      <c r="T23" s="36"/>
    </row>
    <row r="24" spans="1:20" s="37" customFormat="1" ht="9.9" customHeight="1" x14ac:dyDescent="0.4">
      <c r="A24" s="32"/>
      <c r="B24" s="32"/>
      <c r="C24" s="33"/>
      <c r="D24" s="33"/>
      <c r="E24" s="20" t="s">
        <v>67</v>
      </c>
      <c r="F24" s="18">
        <v>32111</v>
      </c>
      <c r="G24" s="19" t="s">
        <v>45</v>
      </c>
      <c r="H24" s="34"/>
      <c r="I24" s="35"/>
      <c r="J24" s="34"/>
      <c r="K24" s="35"/>
      <c r="L24" s="34"/>
      <c r="M24" s="35"/>
      <c r="N24" s="34"/>
      <c r="O24" s="35"/>
      <c r="P24" s="34"/>
      <c r="Q24" s="35"/>
      <c r="R24" s="34"/>
      <c r="S24" s="35"/>
      <c r="T24" s="36"/>
    </row>
    <row r="25" spans="1:20" s="37" customFormat="1" ht="9.9" customHeight="1" x14ac:dyDescent="0.4">
      <c r="A25" s="52"/>
      <c r="B25" s="52"/>
      <c r="C25" s="53"/>
      <c r="D25" s="53"/>
      <c r="E25" s="54" t="s">
        <v>64</v>
      </c>
      <c r="F25" s="22">
        <v>25800</v>
      </c>
      <c r="G25" s="55" t="s">
        <v>45</v>
      </c>
      <c r="H25" s="56"/>
      <c r="I25" s="57"/>
      <c r="J25" s="56"/>
      <c r="K25" s="57"/>
      <c r="L25" s="56"/>
      <c r="M25" s="57"/>
      <c r="N25" s="56"/>
      <c r="O25" s="57"/>
      <c r="P25" s="56"/>
      <c r="Q25" s="57"/>
      <c r="R25" s="56"/>
      <c r="S25" s="57"/>
      <c r="T25" s="58"/>
    </row>
    <row r="26" spans="1:20" s="37" customFormat="1" ht="9.9" customHeight="1" x14ac:dyDescent="0.4">
      <c r="A26" s="32">
        <v>4</v>
      </c>
      <c r="B26" s="32" t="s">
        <v>11</v>
      </c>
      <c r="C26" s="33" t="s">
        <v>12</v>
      </c>
      <c r="D26" s="33" t="s">
        <v>12</v>
      </c>
      <c r="E26" s="17" t="s">
        <v>68</v>
      </c>
      <c r="F26" s="18">
        <v>22624</v>
      </c>
      <c r="G26" s="19" t="s">
        <v>46</v>
      </c>
      <c r="H26" s="34">
        <v>3</v>
      </c>
      <c r="I26" s="35">
        <v>3</v>
      </c>
      <c r="J26" s="34" t="s">
        <v>23</v>
      </c>
      <c r="K26" s="35" t="s">
        <v>23</v>
      </c>
      <c r="L26" s="34">
        <v>5</v>
      </c>
      <c r="M26" s="35">
        <v>5</v>
      </c>
      <c r="N26" s="34">
        <v>6</v>
      </c>
      <c r="O26" s="35">
        <v>6</v>
      </c>
      <c r="P26" s="34">
        <v>3</v>
      </c>
      <c r="Q26" s="35">
        <v>3</v>
      </c>
      <c r="R26" s="34">
        <v>3</v>
      </c>
      <c r="S26" s="35">
        <v>3</v>
      </c>
      <c r="T26" s="36">
        <f>I26+M26+O26+Q26+S26</f>
        <v>20</v>
      </c>
    </row>
    <row r="27" spans="1:20" s="37" customFormat="1" ht="9.9" customHeight="1" x14ac:dyDescent="0.4">
      <c r="A27" s="32"/>
      <c r="B27" s="32"/>
      <c r="C27" s="33"/>
      <c r="D27" s="33"/>
      <c r="E27" s="20" t="s">
        <v>69</v>
      </c>
      <c r="F27" s="18">
        <v>29422</v>
      </c>
      <c r="G27" s="19" t="s">
        <v>44</v>
      </c>
      <c r="H27" s="34"/>
      <c r="I27" s="35"/>
      <c r="J27" s="34"/>
      <c r="K27" s="35"/>
      <c r="L27" s="34"/>
      <c r="M27" s="35"/>
      <c r="N27" s="34"/>
      <c r="O27" s="35"/>
      <c r="P27" s="34"/>
      <c r="Q27" s="35"/>
      <c r="R27" s="34"/>
      <c r="S27" s="35"/>
      <c r="T27" s="36"/>
    </row>
    <row r="28" spans="1:20" s="37" customFormat="1" ht="9.9" customHeight="1" x14ac:dyDescent="0.4">
      <c r="A28" s="32"/>
      <c r="B28" s="32"/>
      <c r="C28" s="33"/>
      <c r="D28" s="33"/>
      <c r="E28" s="20" t="s">
        <v>70</v>
      </c>
      <c r="F28" s="18">
        <v>31247</v>
      </c>
      <c r="G28" s="19">
        <v>1</v>
      </c>
      <c r="H28" s="34"/>
      <c r="I28" s="35"/>
      <c r="J28" s="34"/>
      <c r="K28" s="35"/>
      <c r="L28" s="34"/>
      <c r="M28" s="35"/>
      <c r="N28" s="34"/>
      <c r="O28" s="35"/>
      <c r="P28" s="34"/>
      <c r="Q28" s="35"/>
      <c r="R28" s="34"/>
      <c r="S28" s="35"/>
      <c r="T28" s="36"/>
    </row>
    <row r="29" spans="1:20" s="37" customFormat="1" ht="9.9" customHeight="1" x14ac:dyDescent="0.4">
      <c r="A29" s="32"/>
      <c r="B29" s="32"/>
      <c r="C29" s="33"/>
      <c r="D29" s="33"/>
      <c r="E29" s="20" t="s">
        <v>71</v>
      </c>
      <c r="F29" s="18">
        <v>35152</v>
      </c>
      <c r="G29" s="19">
        <v>2</v>
      </c>
      <c r="H29" s="34"/>
      <c r="I29" s="35"/>
      <c r="J29" s="34"/>
      <c r="K29" s="35"/>
      <c r="L29" s="34"/>
      <c r="M29" s="35"/>
      <c r="N29" s="34"/>
      <c r="O29" s="35"/>
      <c r="P29" s="34"/>
      <c r="Q29" s="35"/>
      <c r="R29" s="34"/>
      <c r="S29" s="35"/>
      <c r="T29" s="36"/>
    </row>
    <row r="30" spans="1:20" s="37" customFormat="1" ht="9.9" customHeight="1" x14ac:dyDescent="0.4">
      <c r="A30" s="32"/>
      <c r="B30" s="32"/>
      <c r="C30" s="33"/>
      <c r="D30" s="33"/>
      <c r="E30" s="20" t="s">
        <v>72</v>
      </c>
      <c r="F30" s="18">
        <v>30570</v>
      </c>
      <c r="G30" s="19" t="s">
        <v>44</v>
      </c>
      <c r="H30" s="34"/>
      <c r="I30" s="35"/>
      <c r="J30" s="34"/>
      <c r="K30" s="35"/>
      <c r="L30" s="34"/>
      <c r="M30" s="35"/>
      <c r="N30" s="34"/>
      <c r="O30" s="35"/>
      <c r="P30" s="34"/>
      <c r="Q30" s="35"/>
      <c r="R30" s="34"/>
      <c r="S30" s="35"/>
      <c r="T30" s="36"/>
    </row>
    <row r="31" spans="1:20" s="37" customFormat="1" ht="9.9" customHeight="1" x14ac:dyDescent="0.4">
      <c r="A31" s="32"/>
      <c r="B31" s="32"/>
      <c r="C31" s="33"/>
      <c r="D31" s="33"/>
      <c r="E31" s="20" t="s">
        <v>73</v>
      </c>
      <c r="F31" s="18"/>
      <c r="G31" s="19" t="s">
        <v>44</v>
      </c>
      <c r="H31" s="34"/>
      <c r="I31" s="35"/>
      <c r="J31" s="34"/>
      <c r="K31" s="35"/>
      <c r="L31" s="34"/>
      <c r="M31" s="35"/>
      <c r="N31" s="34"/>
      <c r="O31" s="35"/>
      <c r="P31" s="34"/>
      <c r="Q31" s="35"/>
      <c r="R31" s="34"/>
      <c r="S31" s="35"/>
      <c r="T31" s="36"/>
    </row>
    <row r="32" spans="1:20" s="37" customFormat="1" ht="9.9" customHeight="1" x14ac:dyDescent="0.4">
      <c r="A32" s="32"/>
      <c r="B32" s="32"/>
      <c r="C32" s="33"/>
      <c r="D32" s="33"/>
      <c r="E32" s="20" t="s">
        <v>74</v>
      </c>
      <c r="F32" s="18">
        <v>25589</v>
      </c>
      <c r="G32" s="19" t="s">
        <v>44</v>
      </c>
      <c r="H32" s="34"/>
      <c r="I32" s="35"/>
      <c r="J32" s="34"/>
      <c r="K32" s="35"/>
      <c r="L32" s="34"/>
      <c r="M32" s="35"/>
      <c r="N32" s="34"/>
      <c r="O32" s="35"/>
      <c r="P32" s="34"/>
      <c r="Q32" s="35"/>
      <c r="R32" s="34"/>
      <c r="S32" s="35"/>
      <c r="T32" s="36"/>
    </row>
    <row r="33" spans="1:20" s="37" customFormat="1" ht="9.9" customHeight="1" x14ac:dyDescent="0.4">
      <c r="A33" s="32"/>
      <c r="B33" s="32"/>
      <c r="C33" s="33"/>
      <c r="D33" s="33"/>
      <c r="E33" s="20" t="s">
        <v>75</v>
      </c>
      <c r="F33" s="18">
        <v>27038</v>
      </c>
      <c r="G33" s="19" t="s">
        <v>44</v>
      </c>
      <c r="H33" s="34"/>
      <c r="I33" s="35"/>
      <c r="J33" s="34"/>
      <c r="K33" s="35"/>
      <c r="L33" s="34"/>
      <c r="M33" s="35"/>
      <c r="N33" s="34"/>
      <c r="O33" s="35"/>
      <c r="P33" s="34"/>
      <c r="Q33" s="35"/>
      <c r="R33" s="34"/>
      <c r="S33" s="35"/>
      <c r="T33" s="36"/>
    </row>
    <row r="34" spans="1:20" s="37" customFormat="1" ht="9.9" customHeight="1" x14ac:dyDescent="0.4">
      <c r="A34" s="32"/>
      <c r="B34" s="32"/>
      <c r="C34" s="33"/>
      <c r="D34" s="33"/>
      <c r="E34" s="20" t="s">
        <v>76</v>
      </c>
      <c r="F34" s="18">
        <v>29308</v>
      </c>
      <c r="G34" s="19" t="s">
        <v>44</v>
      </c>
      <c r="H34" s="34"/>
      <c r="I34" s="35"/>
      <c r="J34" s="34"/>
      <c r="K34" s="35"/>
      <c r="L34" s="34"/>
      <c r="M34" s="35"/>
      <c r="N34" s="34"/>
      <c r="O34" s="35"/>
      <c r="P34" s="34"/>
      <c r="Q34" s="35"/>
      <c r="R34" s="34"/>
      <c r="S34" s="35"/>
      <c r="T34" s="36"/>
    </row>
    <row r="35" spans="1:20" s="37" customFormat="1" ht="9.9" customHeight="1" x14ac:dyDescent="0.4">
      <c r="A35" s="44">
        <v>5</v>
      </c>
      <c r="B35" s="44" t="s">
        <v>36</v>
      </c>
      <c r="C35" s="45" t="s">
        <v>13</v>
      </c>
      <c r="D35" s="45" t="s">
        <v>13</v>
      </c>
      <c r="E35" s="46" t="s">
        <v>77</v>
      </c>
      <c r="F35" s="21">
        <v>31309</v>
      </c>
      <c r="G35" s="47">
        <v>1</v>
      </c>
      <c r="H35" s="48">
        <v>6</v>
      </c>
      <c r="I35" s="49">
        <v>6</v>
      </c>
      <c r="J35" s="48" t="s">
        <v>24</v>
      </c>
      <c r="K35" s="49" t="s">
        <v>24</v>
      </c>
      <c r="L35" s="48">
        <v>6</v>
      </c>
      <c r="M35" s="49">
        <v>6</v>
      </c>
      <c r="N35" s="48">
        <v>4.5</v>
      </c>
      <c r="O35" s="49">
        <v>4.5</v>
      </c>
      <c r="P35" s="48">
        <v>4</v>
      </c>
      <c r="Q35" s="49">
        <v>4</v>
      </c>
      <c r="R35" s="48">
        <v>6</v>
      </c>
      <c r="S35" s="49">
        <v>6</v>
      </c>
      <c r="T35" s="50">
        <f>I35+M35+O35+Q35+S35</f>
        <v>26.5</v>
      </c>
    </row>
    <row r="36" spans="1:20" s="37" customFormat="1" ht="9.9" customHeight="1" x14ac:dyDescent="0.4">
      <c r="A36" s="32"/>
      <c r="B36" s="32"/>
      <c r="C36" s="33"/>
      <c r="D36" s="33"/>
      <c r="E36" s="20" t="s">
        <v>78</v>
      </c>
      <c r="F36" s="18">
        <v>33506</v>
      </c>
      <c r="G36" s="19">
        <v>1</v>
      </c>
      <c r="H36" s="34"/>
      <c r="I36" s="35"/>
      <c r="J36" s="34"/>
      <c r="K36" s="35"/>
      <c r="L36" s="34"/>
      <c r="M36" s="35"/>
      <c r="N36" s="34"/>
      <c r="O36" s="35"/>
      <c r="P36" s="34"/>
      <c r="Q36" s="35"/>
      <c r="R36" s="34"/>
      <c r="S36" s="35"/>
      <c r="T36" s="36"/>
    </row>
    <row r="37" spans="1:20" s="37" customFormat="1" ht="9.9" customHeight="1" x14ac:dyDescent="0.4">
      <c r="A37" s="32"/>
      <c r="B37" s="32"/>
      <c r="C37" s="33"/>
      <c r="D37" s="33"/>
      <c r="E37" s="20" t="s">
        <v>79</v>
      </c>
      <c r="F37" s="18">
        <v>31105</v>
      </c>
      <c r="G37" s="19">
        <v>1</v>
      </c>
      <c r="H37" s="34"/>
      <c r="I37" s="35"/>
      <c r="J37" s="34"/>
      <c r="K37" s="35"/>
      <c r="L37" s="34"/>
      <c r="M37" s="35"/>
      <c r="N37" s="34"/>
      <c r="O37" s="35"/>
      <c r="P37" s="34"/>
      <c r="Q37" s="35"/>
      <c r="R37" s="34"/>
      <c r="S37" s="35"/>
      <c r="T37" s="36"/>
    </row>
    <row r="38" spans="1:20" s="37" customFormat="1" ht="9.9" customHeight="1" x14ac:dyDescent="0.4">
      <c r="A38" s="52"/>
      <c r="B38" s="52"/>
      <c r="C38" s="53"/>
      <c r="D38" s="53"/>
      <c r="E38" s="54" t="s">
        <v>80</v>
      </c>
      <c r="F38" s="22"/>
      <c r="G38" s="55">
        <v>1</v>
      </c>
      <c r="H38" s="56"/>
      <c r="I38" s="57"/>
      <c r="J38" s="56"/>
      <c r="K38" s="57"/>
      <c r="L38" s="56"/>
      <c r="M38" s="57"/>
      <c r="N38" s="56"/>
      <c r="O38" s="57"/>
      <c r="P38" s="56"/>
      <c r="Q38" s="57"/>
      <c r="R38" s="56"/>
      <c r="S38" s="57"/>
      <c r="T38" s="58"/>
    </row>
    <row r="39" spans="1:20" s="37" customFormat="1" ht="9.9" customHeight="1" x14ac:dyDescent="0.4">
      <c r="A39" s="44">
        <v>6</v>
      </c>
      <c r="B39" s="44" t="s">
        <v>14</v>
      </c>
      <c r="C39" s="45" t="s">
        <v>15</v>
      </c>
      <c r="D39" s="45" t="s">
        <v>15</v>
      </c>
      <c r="E39" s="46" t="s">
        <v>81</v>
      </c>
      <c r="F39" s="21"/>
      <c r="G39" s="47" t="s">
        <v>46</v>
      </c>
      <c r="H39" s="48">
        <v>5</v>
      </c>
      <c r="I39" s="49">
        <v>5</v>
      </c>
      <c r="J39" s="48">
        <v>4</v>
      </c>
      <c r="K39" s="49">
        <v>4</v>
      </c>
      <c r="L39" s="48" t="s">
        <v>105</v>
      </c>
      <c r="M39" s="49" t="s">
        <v>25</v>
      </c>
      <c r="N39" s="48">
        <v>3</v>
      </c>
      <c r="O39" s="49">
        <v>3</v>
      </c>
      <c r="P39" s="48" t="s">
        <v>106</v>
      </c>
      <c r="Q39" s="49">
        <v>10</v>
      </c>
      <c r="R39" s="48">
        <v>5</v>
      </c>
      <c r="S39" s="49">
        <v>5</v>
      </c>
      <c r="T39" s="50">
        <f>I39+K39+O39+Q39+S39</f>
        <v>27</v>
      </c>
    </row>
    <row r="40" spans="1:20" s="37" customFormat="1" ht="9.9" customHeight="1" x14ac:dyDescent="0.4">
      <c r="A40" s="32"/>
      <c r="B40" s="32"/>
      <c r="C40" s="33"/>
      <c r="D40" s="33"/>
      <c r="E40" s="20" t="s">
        <v>82</v>
      </c>
      <c r="F40" s="18"/>
      <c r="G40" s="19" t="s">
        <v>46</v>
      </c>
      <c r="H40" s="34"/>
      <c r="I40" s="35"/>
      <c r="J40" s="34"/>
      <c r="K40" s="35"/>
      <c r="L40" s="34"/>
      <c r="M40" s="35"/>
      <c r="N40" s="34"/>
      <c r="O40" s="35"/>
      <c r="P40" s="34"/>
      <c r="Q40" s="35"/>
      <c r="R40" s="34"/>
      <c r="S40" s="35"/>
      <c r="T40" s="36"/>
    </row>
    <row r="41" spans="1:20" s="37" customFormat="1" ht="9.9" customHeight="1" x14ac:dyDescent="0.4">
      <c r="A41" s="32"/>
      <c r="B41" s="32"/>
      <c r="C41" s="33"/>
      <c r="D41" s="33"/>
      <c r="E41" s="20" t="s">
        <v>83</v>
      </c>
      <c r="F41" s="18"/>
      <c r="G41" s="19" t="s">
        <v>45</v>
      </c>
      <c r="H41" s="34"/>
      <c r="I41" s="35"/>
      <c r="J41" s="34"/>
      <c r="K41" s="35"/>
      <c r="L41" s="34"/>
      <c r="M41" s="35"/>
      <c r="N41" s="34"/>
      <c r="O41" s="35"/>
      <c r="P41" s="34"/>
      <c r="Q41" s="35"/>
      <c r="R41" s="34"/>
      <c r="S41" s="35"/>
      <c r="T41" s="36"/>
    </row>
    <row r="42" spans="1:20" s="37" customFormat="1" ht="9.9" customHeight="1" x14ac:dyDescent="0.4">
      <c r="A42" s="32"/>
      <c r="B42" s="32"/>
      <c r="C42" s="33"/>
      <c r="D42" s="33"/>
      <c r="E42" s="20" t="s">
        <v>84</v>
      </c>
      <c r="F42" s="18"/>
      <c r="G42" s="19" t="s">
        <v>44</v>
      </c>
      <c r="H42" s="34"/>
      <c r="I42" s="35"/>
      <c r="J42" s="34"/>
      <c r="K42" s="35"/>
      <c r="L42" s="34"/>
      <c r="M42" s="35"/>
      <c r="N42" s="34"/>
      <c r="O42" s="35"/>
      <c r="P42" s="34"/>
      <c r="Q42" s="35"/>
      <c r="R42" s="34"/>
      <c r="S42" s="35"/>
      <c r="T42" s="36"/>
    </row>
    <row r="43" spans="1:20" s="37" customFormat="1" ht="9.9" customHeight="1" x14ac:dyDescent="0.4">
      <c r="A43" s="32"/>
      <c r="B43" s="32"/>
      <c r="C43" s="33"/>
      <c r="D43" s="33"/>
      <c r="E43" s="20" t="s">
        <v>85</v>
      </c>
      <c r="F43" s="18"/>
      <c r="G43" s="19" t="s">
        <v>45</v>
      </c>
      <c r="H43" s="34"/>
      <c r="I43" s="35"/>
      <c r="J43" s="34"/>
      <c r="K43" s="35"/>
      <c r="L43" s="34"/>
      <c r="M43" s="35"/>
      <c r="N43" s="34"/>
      <c r="O43" s="35"/>
      <c r="P43" s="34"/>
      <c r="Q43" s="35"/>
      <c r="R43" s="34"/>
      <c r="S43" s="35"/>
      <c r="T43" s="36"/>
    </row>
    <row r="44" spans="1:20" s="37" customFormat="1" ht="9.9" customHeight="1" x14ac:dyDescent="0.4">
      <c r="A44" s="52"/>
      <c r="B44" s="52"/>
      <c r="C44" s="53"/>
      <c r="D44" s="53"/>
      <c r="E44" s="54" t="s">
        <v>86</v>
      </c>
      <c r="F44" s="22"/>
      <c r="G44" s="55" t="s">
        <v>44</v>
      </c>
      <c r="H44" s="56"/>
      <c r="I44" s="57"/>
      <c r="J44" s="56"/>
      <c r="K44" s="57"/>
      <c r="L44" s="56"/>
      <c r="M44" s="57"/>
      <c r="N44" s="56"/>
      <c r="O44" s="57"/>
      <c r="P44" s="56"/>
      <c r="Q44" s="57"/>
      <c r="R44" s="56"/>
      <c r="S44" s="57"/>
      <c r="T44" s="58"/>
    </row>
    <row r="45" spans="1:20" s="37" customFormat="1" ht="9.9" customHeight="1" x14ac:dyDescent="0.4">
      <c r="A45" s="44">
        <v>7</v>
      </c>
      <c r="B45" s="44" t="s">
        <v>16</v>
      </c>
      <c r="C45" s="45" t="s">
        <v>17</v>
      </c>
      <c r="D45" s="45" t="s">
        <v>17</v>
      </c>
      <c r="E45" s="46" t="s">
        <v>87</v>
      </c>
      <c r="F45" s="21">
        <v>26974</v>
      </c>
      <c r="G45" s="47" t="s">
        <v>46</v>
      </c>
      <c r="H45" s="48" t="s">
        <v>23</v>
      </c>
      <c r="I45" s="49" t="s">
        <v>23</v>
      </c>
      <c r="J45" s="48">
        <v>3</v>
      </c>
      <c r="K45" s="49">
        <v>3</v>
      </c>
      <c r="L45" s="48">
        <v>4</v>
      </c>
      <c r="M45" s="49">
        <v>4</v>
      </c>
      <c r="N45" s="48">
        <v>7</v>
      </c>
      <c r="O45" s="49">
        <v>7</v>
      </c>
      <c r="P45" s="48">
        <v>6</v>
      </c>
      <c r="Q45" s="49">
        <v>6</v>
      </c>
      <c r="R45" s="48">
        <v>7</v>
      </c>
      <c r="S45" s="49">
        <v>7</v>
      </c>
      <c r="T45" s="50">
        <f>K45+M45+O45+Q45+S45</f>
        <v>27</v>
      </c>
    </row>
    <row r="46" spans="1:20" s="37" customFormat="1" ht="9.9" customHeight="1" x14ac:dyDescent="0.4">
      <c r="A46" s="32"/>
      <c r="B46" s="32"/>
      <c r="C46" s="33"/>
      <c r="D46" s="33"/>
      <c r="E46" s="20" t="s">
        <v>88</v>
      </c>
      <c r="F46" s="18">
        <v>34123</v>
      </c>
      <c r="G46" s="19" t="s">
        <v>46</v>
      </c>
      <c r="H46" s="34"/>
      <c r="I46" s="35"/>
      <c r="J46" s="34"/>
      <c r="K46" s="35"/>
      <c r="L46" s="34"/>
      <c r="M46" s="35"/>
      <c r="N46" s="34"/>
      <c r="O46" s="35"/>
      <c r="P46" s="34"/>
      <c r="Q46" s="35"/>
      <c r="R46" s="34"/>
      <c r="S46" s="35"/>
      <c r="T46" s="36"/>
    </row>
    <row r="47" spans="1:20" s="37" customFormat="1" ht="9.9" customHeight="1" x14ac:dyDescent="0.4">
      <c r="A47" s="32"/>
      <c r="B47" s="32"/>
      <c r="C47" s="33"/>
      <c r="D47" s="33"/>
      <c r="E47" s="20" t="s">
        <v>89</v>
      </c>
      <c r="F47" s="18">
        <v>35113</v>
      </c>
      <c r="G47" s="19" t="s">
        <v>46</v>
      </c>
      <c r="H47" s="34"/>
      <c r="I47" s="35"/>
      <c r="J47" s="34"/>
      <c r="K47" s="35"/>
      <c r="L47" s="34"/>
      <c r="M47" s="35"/>
      <c r="N47" s="34"/>
      <c r="O47" s="35"/>
      <c r="P47" s="34"/>
      <c r="Q47" s="35"/>
      <c r="R47" s="34"/>
      <c r="S47" s="35"/>
      <c r="T47" s="36"/>
    </row>
    <row r="48" spans="1:20" s="37" customFormat="1" ht="9.9" customHeight="1" x14ac:dyDescent="0.4">
      <c r="A48" s="32"/>
      <c r="B48" s="32"/>
      <c r="C48" s="33"/>
      <c r="D48" s="33"/>
      <c r="E48" s="20" t="s">
        <v>90</v>
      </c>
      <c r="F48" s="18"/>
      <c r="G48" s="19" t="s">
        <v>44</v>
      </c>
      <c r="H48" s="34"/>
      <c r="I48" s="35"/>
      <c r="J48" s="34"/>
      <c r="K48" s="35"/>
      <c r="L48" s="34"/>
      <c r="M48" s="35"/>
      <c r="N48" s="34"/>
      <c r="O48" s="35"/>
      <c r="P48" s="34"/>
      <c r="Q48" s="35"/>
      <c r="R48" s="34"/>
      <c r="S48" s="35"/>
      <c r="T48" s="36"/>
    </row>
    <row r="49" spans="1:20" s="37" customFormat="1" ht="9.9" customHeight="1" x14ac:dyDescent="0.4">
      <c r="A49" s="32"/>
      <c r="B49" s="32"/>
      <c r="C49" s="33"/>
      <c r="D49" s="33"/>
      <c r="E49" s="20" t="s">
        <v>91</v>
      </c>
      <c r="F49" s="18"/>
      <c r="G49" s="19" t="s">
        <v>44</v>
      </c>
      <c r="H49" s="34"/>
      <c r="I49" s="35"/>
      <c r="J49" s="34"/>
      <c r="K49" s="35"/>
      <c r="L49" s="34"/>
      <c r="M49" s="35"/>
      <c r="N49" s="34"/>
      <c r="O49" s="35"/>
      <c r="P49" s="34"/>
      <c r="Q49" s="35"/>
      <c r="R49" s="34"/>
      <c r="S49" s="35"/>
      <c r="T49" s="36"/>
    </row>
    <row r="50" spans="1:20" s="37" customFormat="1" ht="9.9" customHeight="1" x14ac:dyDescent="0.4">
      <c r="A50" s="32"/>
      <c r="B50" s="32"/>
      <c r="C50" s="33"/>
      <c r="D50" s="33"/>
      <c r="E50" s="20" t="s">
        <v>92</v>
      </c>
      <c r="F50" s="18"/>
      <c r="G50" s="19" t="s">
        <v>44</v>
      </c>
      <c r="H50" s="34"/>
      <c r="I50" s="35"/>
      <c r="J50" s="34"/>
      <c r="K50" s="35"/>
      <c r="L50" s="34"/>
      <c r="M50" s="35"/>
      <c r="N50" s="34"/>
      <c r="O50" s="35"/>
      <c r="P50" s="34"/>
      <c r="Q50" s="35"/>
      <c r="R50" s="34"/>
      <c r="S50" s="35"/>
      <c r="T50" s="36"/>
    </row>
    <row r="51" spans="1:20" s="37" customFormat="1" ht="9.9" customHeight="1" x14ac:dyDescent="0.4">
      <c r="A51" s="32"/>
      <c r="B51" s="32"/>
      <c r="C51" s="33"/>
      <c r="D51" s="33"/>
      <c r="E51" s="20" t="s">
        <v>94</v>
      </c>
      <c r="F51" s="18"/>
      <c r="G51" s="19" t="s">
        <v>44</v>
      </c>
      <c r="H51" s="34"/>
      <c r="I51" s="35"/>
      <c r="J51" s="34"/>
      <c r="K51" s="35"/>
      <c r="L51" s="34"/>
      <c r="M51" s="35"/>
      <c r="N51" s="34"/>
      <c r="O51" s="35"/>
      <c r="P51" s="34"/>
      <c r="Q51" s="35"/>
      <c r="R51" s="34"/>
      <c r="S51" s="35"/>
      <c r="T51" s="36"/>
    </row>
    <row r="52" spans="1:20" s="37" customFormat="1" ht="9.9" customHeight="1" x14ac:dyDescent="0.4">
      <c r="A52" s="52"/>
      <c r="B52" s="52"/>
      <c r="C52" s="53"/>
      <c r="D52" s="53"/>
      <c r="E52" s="54" t="s">
        <v>93</v>
      </c>
      <c r="F52" s="22"/>
      <c r="G52" s="55" t="s">
        <v>44</v>
      </c>
      <c r="H52" s="56"/>
      <c r="I52" s="57"/>
      <c r="J52" s="56"/>
      <c r="K52" s="57"/>
      <c r="L52" s="56"/>
      <c r="M52" s="57"/>
      <c r="N52" s="56"/>
      <c r="O52" s="57"/>
      <c r="P52" s="56"/>
      <c r="Q52" s="57"/>
      <c r="R52" s="56"/>
      <c r="S52" s="57"/>
      <c r="T52" s="58"/>
    </row>
    <row r="53" spans="1:20" s="37" customFormat="1" ht="9.9" customHeight="1" x14ac:dyDescent="0.4">
      <c r="A53" s="32">
        <v>8</v>
      </c>
      <c r="B53" s="32">
        <v>1451</v>
      </c>
      <c r="C53" s="33" t="s">
        <v>18</v>
      </c>
      <c r="D53" s="33" t="s">
        <v>18</v>
      </c>
      <c r="E53" s="17" t="s">
        <v>95</v>
      </c>
      <c r="F53" s="18">
        <v>26581</v>
      </c>
      <c r="G53" s="19" t="s">
        <v>45</v>
      </c>
      <c r="H53" s="34" t="s">
        <v>107</v>
      </c>
      <c r="I53" s="35" t="s">
        <v>25</v>
      </c>
      <c r="J53" s="34">
        <v>5</v>
      </c>
      <c r="K53" s="35">
        <v>5</v>
      </c>
      <c r="L53" s="34" t="s">
        <v>106</v>
      </c>
      <c r="M53" s="35">
        <v>10</v>
      </c>
      <c r="N53" s="34" t="s">
        <v>108</v>
      </c>
      <c r="O53" s="35">
        <v>10</v>
      </c>
      <c r="P53" s="34" t="s">
        <v>108</v>
      </c>
      <c r="Q53" s="35">
        <v>10</v>
      </c>
      <c r="R53" s="34" t="s">
        <v>108</v>
      </c>
      <c r="S53" s="35">
        <v>10</v>
      </c>
      <c r="T53" s="36">
        <f>K53+M53+O53+Q53+S53</f>
        <v>45</v>
      </c>
    </row>
    <row r="54" spans="1:20" s="37" customFormat="1" ht="9.9" customHeight="1" x14ac:dyDescent="0.4">
      <c r="A54" s="32"/>
      <c r="B54" s="32"/>
      <c r="C54" s="33"/>
      <c r="D54" s="33"/>
      <c r="E54" s="20" t="s">
        <v>96</v>
      </c>
      <c r="F54" s="18">
        <v>28503</v>
      </c>
      <c r="G54" s="19">
        <v>2</v>
      </c>
      <c r="H54" s="34"/>
      <c r="I54" s="35"/>
      <c r="J54" s="34"/>
      <c r="K54" s="35"/>
      <c r="L54" s="34"/>
      <c r="M54" s="35"/>
      <c r="N54" s="34"/>
      <c r="O54" s="35"/>
      <c r="P54" s="34"/>
      <c r="Q54" s="35"/>
      <c r="R54" s="34"/>
      <c r="S54" s="35"/>
      <c r="T54" s="36"/>
    </row>
    <row r="55" spans="1:20" s="37" customFormat="1" ht="9.9" customHeight="1" x14ac:dyDescent="0.4">
      <c r="A55" s="32"/>
      <c r="B55" s="32"/>
      <c r="C55" s="33"/>
      <c r="D55" s="33"/>
      <c r="E55" s="20" t="s">
        <v>97</v>
      </c>
      <c r="F55" s="18">
        <v>34213</v>
      </c>
      <c r="G55" s="19">
        <v>2</v>
      </c>
      <c r="H55" s="34"/>
      <c r="I55" s="35"/>
      <c r="J55" s="34"/>
      <c r="K55" s="35"/>
      <c r="L55" s="34"/>
      <c r="M55" s="35"/>
      <c r="N55" s="34"/>
      <c r="O55" s="35"/>
      <c r="P55" s="34"/>
      <c r="Q55" s="35"/>
      <c r="R55" s="34"/>
      <c r="S55" s="35"/>
      <c r="T55" s="36"/>
    </row>
    <row r="56" spans="1:20" s="37" customFormat="1" ht="9.9" customHeight="1" x14ac:dyDescent="0.4">
      <c r="A56" s="32"/>
      <c r="B56" s="32"/>
      <c r="C56" s="33"/>
      <c r="D56" s="33"/>
      <c r="E56" s="20" t="s">
        <v>98</v>
      </c>
      <c r="F56" s="18">
        <v>30672</v>
      </c>
      <c r="G56" s="19" t="s">
        <v>44</v>
      </c>
      <c r="H56" s="34"/>
      <c r="I56" s="35"/>
      <c r="J56" s="34"/>
      <c r="K56" s="35"/>
      <c r="L56" s="34"/>
      <c r="M56" s="35"/>
      <c r="N56" s="34"/>
      <c r="O56" s="35"/>
      <c r="P56" s="34"/>
      <c r="Q56" s="35"/>
      <c r="R56" s="34"/>
      <c r="S56" s="35"/>
      <c r="T56" s="36"/>
    </row>
    <row r="57" spans="1:20" s="37" customFormat="1" ht="9.9" customHeight="1" x14ac:dyDescent="0.4">
      <c r="A57" s="32"/>
      <c r="B57" s="32"/>
      <c r="C57" s="33"/>
      <c r="D57" s="33"/>
      <c r="E57" s="20" t="s">
        <v>99</v>
      </c>
      <c r="F57" s="18">
        <v>24958</v>
      </c>
      <c r="G57" s="19">
        <v>2</v>
      </c>
      <c r="H57" s="34"/>
      <c r="I57" s="35"/>
      <c r="J57" s="34"/>
      <c r="K57" s="35"/>
      <c r="L57" s="34"/>
      <c r="M57" s="35"/>
      <c r="N57" s="34"/>
      <c r="O57" s="35"/>
      <c r="P57" s="34"/>
      <c r="Q57" s="35"/>
      <c r="R57" s="34"/>
      <c r="S57" s="35"/>
      <c r="T57" s="36"/>
    </row>
    <row r="58" spans="1:20" s="37" customFormat="1" ht="9.9" customHeight="1" x14ac:dyDescent="0.4">
      <c r="A58" s="44">
        <v>9</v>
      </c>
      <c r="B58" s="44" t="s">
        <v>19</v>
      </c>
      <c r="C58" s="45" t="s">
        <v>35</v>
      </c>
      <c r="D58" s="45" t="s">
        <v>35</v>
      </c>
      <c r="E58" s="46" t="s">
        <v>100</v>
      </c>
      <c r="F58" s="21">
        <v>28637</v>
      </c>
      <c r="G58" s="47" t="s">
        <v>44</v>
      </c>
      <c r="H58" s="48" t="s">
        <v>107</v>
      </c>
      <c r="I58" s="49" t="s">
        <v>25</v>
      </c>
      <c r="J58" s="48" t="s">
        <v>108</v>
      </c>
      <c r="K58" s="49">
        <v>10</v>
      </c>
      <c r="L58" s="48" t="s">
        <v>108</v>
      </c>
      <c r="M58" s="49">
        <v>10</v>
      </c>
      <c r="N58" s="48" t="s">
        <v>108</v>
      </c>
      <c r="O58" s="49">
        <v>10</v>
      </c>
      <c r="P58" s="48" t="s">
        <v>108</v>
      </c>
      <c r="Q58" s="49">
        <v>10</v>
      </c>
      <c r="R58" s="48" t="s">
        <v>108</v>
      </c>
      <c r="S58" s="49">
        <v>10</v>
      </c>
      <c r="T58" s="50">
        <f>K58+M58+O58+Q58+S58</f>
        <v>50</v>
      </c>
    </row>
    <row r="59" spans="1:20" s="37" customFormat="1" ht="9.9" customHeight="1" x14ac:dyDescent="0.4">
      <c r="A59" s="32"/>
      <c r="B59" s="32"/>
      <c r="C59" s="33"/>
      <c r="D59" s="33"/>
      <c r="E59" s="20" t="s">
        <v>101</v>
      </c>
      <c r="F59" s="18"/>
      <c r="G59" s="19" t="s">
        <v>46</v>
      </c>
      <c r="H59" s="34"/>
      <c r="I59" s="35"/>
      <c r="J59" s="34"/>
      <c r="K59" s="35"/>
      <c r="L59" s="34"/>
      <c r="M59" s="35"/>
      <c r="N59" s="34"/>
      <c r="O59" s="35"/>
      <c r="P59" s="34"/>
      <c r="Q59" s="35"/>
      <c r="R59" s="34"/>
      <c r="S59" s="35"/>
      <c r="T59" s="36"/>
    </row>
    <row r="60" spans="1:20" s="37" customFormat="1" ht="9.9" customHeight="1" x14ac:dyDescent="0.4">
      <c r="A60" s="32"/>
      <c r="B60" s="32"/>
      <c r="C60" s="33"/>
      <c r="D60" s="33"/>
      <c r="E60" s="20" t="s">
        <v>102</v>
      </c>
      <c r="F60" s="18"/>
      <c r="G60" s="19" t="s">
        <v>44</v>
      </c>
      <c r="H60" s="34"/>
      <c r="I60" s="35"/>
      <c r="J60" s="34"/>
      <c r="K60" s="35"/>
      <c r="L60" s="34"/>
      <c r="M60" s="35"/>
      <c r="N60" s="34"/>
      <c r="O60" s="35"/>
      <c r="P60" s="34"/>
      <c r="Q60" s="35"/>
      <c r="R60" s="34"/>
      <c r="S60" s="35"/>
      <c r="T60" s="36"/>
    </row>
    <row r="61" spans="1:20" s="37" customFormat="1" ht="9.9" customHeight="1" x14ac:dyDescent="0.4">
      <c r="A61" s="32"/>
      <c r="B61" s="32"/>
      <c r="C61" s="33"/>
      <c r="D61" s="33"/>
      <c r="E61" s="20" t="s">
        <v>103</v>
      </c>
      <c r="F61" s="18">
        <v>26084</v>
      </c>
      <c r="G61" s="19" t="s">
        <v>45</v>
      </c>
      <c r="H61" s="34"/>
      <c r="I61" s="35"/>
      <c r="J61" s="34"/>
      <c r="K61" s="35"/>
      <c r="L61" s="34"/>
      <c r="M61" s="35"/>
      <c r="N61" s="34"/>
      <c r="O61" s="35"/>
      <c r="P61" s="34"/>
      <c r="Q61" s="35"/>
      <c r="R61" s="34"/>
      <c r="S61" s="35"/>
      <c r="T61" s="36"/>
    </row>
    <row r="62" spans="1:20" s="37" customFormat="1" ht="9.9" customHeight="1" x14ac:dyDescent="0.4">
      <c r="A62" s="32"/>
      <c r="B62" s="32"/>
      <c r="C62" s="33"/>
      <c r="D62" s="33"/>
      <c r="E62" s="20" t="s">
        <v>104</v>
      </c>
      <c r="F62" s="18">
        <v>30965</v>
      </c>
      <c r="G62" s="19" t="s">
        <v>45</v>
      </c>
      <c r="H62" s="34"/>
      <c r="I62" s="35"/>
      <c r="J62" s="34"/>
      <c r="K62" s="35"/>
      <c r="L62" s="34"/>
      <c r="M62" s="35"/>
      <c r="N62" s="34"/>
      <c r="O62" s="35"/>
      <c r="P62" s="34"/>
      <c r="Q62" s="35"/>
      <c r="R62" s="34"/>
      <c r="S62" s="35"/>
      <c r="T62" s="36"/>
    </row>
    <row r="63" spans="1:20" s="37" customFormat="1" ht="9.9" customHeight="1" x14ac:dyDescent="0.4">
      <c r="A63" s="52"/>
      <c r="B63" s="52"/>
      <c r="C63" s="53"/>
      <c r="D63" s="53"/>
      <c r="E63" s="54" t="s">
        <v>20</v>
      </c>
      <c r="F63" s="22"/>
      <c r="G63" s="55" t="s">
        <v>44</v>
      </c>
      <c r="H63" s="56"/>
      <c r="I63" s="57"/>
      <c r="J63" s="56"/>
      <c r="K63" s="57"/>
      <c r="L63" s="56"/>
      <c r="M63" s="57"/>
      <c r="N63" s="56"/>
      <c r="O63" s="57"/>
      <c r="P63" s="56"/>
      <c r="Q63" s="57"/>
      <c r="R63" s="56"/>
      <c r="S63" s="57"/>
      <c r="T63" s="58"/>
    </row>
    <row r="64" spans="1:20" s="37" customFormat="1" x14ac:dyDescent="0.4">
      <c r="C64" s="38"/>
      <c r="D64" s="38"/>
      <c r="E64" s="39"/>
      <c r="F64" s="18"/>
      <c r="G64" s="19"/>
      <c r="H64" s="40"/>
      <c r="I64" s="41"/>
      <c r="J64" s="40"/>
      <c r="K64" s="41"/>
      <c r="L64" s="40"/>
      <c r="M64" s="41"/>
      <c r="N64" s="40"/>
      <c r="O64" s="41"/>
      <c r="P64" s="40"/>
      <c r="Q64" s="41"/>
      <c r="R64" s="40"/>
      <c r="S64" s="41"/>
      <c r="T64" s="42"/>
    </row>
  </sheetData>
  <mergeCells count="169">
    <mergeCell ref="C53:C57"/>
    <mergeCell ref="C58:C63"/>
    <mergeCell ref="G5:G6"/>
    <mergeCell ref="F5:F6"/>
    <mergeCell ref="C12:C18"/>
    <mergeCell ref="C19:C25"/>
    <mergeCell ref="C26:C34"/>
    <mergeCell ref="C35:C38"/>
    <mergeCell ref="C39:C44"/>
    <mergeCell ref="C45:C52"/>
    <mergeCell ref="D45:D52"/>
    <mergeCell ref="D53:D57"/>
    <mergeCell ref="D58:D63"/>
    <mergeCell ref="A1:S1"/>
    <mergeCell ref="A2:S2"/>
    <mergeCell ref="A3:S3"/>
    <mergeCell ref="B5:B6"/>
    <mergeCell ref="C5:C6"/>
    <mergeCell ref="C7:C11"/>
    <mergeCell ref="D7:D11"/>
    <mergeCell ref="D12:D18"/>
    <mergeCell ref="D19:D25"/>
    <mergeCell ref="D26:D34"/>
    <mergeCell ref="D35:D38"/>
    <mergeCell ref="D39:D44"/>
    <mergeCell ref="T45:T52"/>
    <mergeCell ref="T53:T57"/>
    <mergeCell ref="T58:T63"/>
    <mergeCell ref="H5:I5"/>
    <mergeCell ref="J5:K5"/>
    <mergeCell ref="L5:M5"/>
    <mergeCell ref="N5:O5"/>
    <mergeCell ref="P5:Q5"/>
    <mergeCell ref="R5:S5"/>
    <mergeCell ref="T39:T44"/>
    <mergeCell ref="S58:S63"/>
    <mergeCell ref="T7:T11"/>
    <mergeCell ref="T12:T18"/>
    <mergeCell ref="T19:T25"/>
    <mergeCell ref="T26:T34"/>
    <mergeCell ref="T35:T38"/>
    <mergeCell ref="O58:O63"/>
    <mergeCell ref="P58:P63"/>
    <mergeCell ref="Q58:Q63"/>
    <mergeCell ref="R58:R63"/>
    <mergeCell ref="K58:K63"/>
    <mergeCell ref="L58:L63"/>
    <mergeCell ref="M58:M63"/>
    <mergeCell ref="N58:N63"/>
    <mergeCell ref="A58:A63"/>
    <mergeCell ref="B58:B63"/>
    <mergeCell ref="H58:H63"/>
    <mergeCell ref="I58:I63"/>
    <mergeCell ref="J58:J63"/>
    <mergeCell ref="R53:R57"/>
    <mergeCell ref="S53:S57"/>
    <mergeCell ref="N53:N57"/>
    <mergeCell ref="O53:O57"/>
    <mergeCell ref="P53:P57"/>
    <mergeCell ref="Q53:Q57"/>
    <mergeCell ref="A53:A57"/>
    <mergeCell ref="B53:B57"/>
    <mergeCell ref="H53:H57"/>
    <mergeCell ref="I53:I57"/>
    <mergeCell ref="J53:J57"/>
    <mergeCell ref="K53:K57"/>
    <mergeCell ref="L53:L57"/>
    <mergeCell ref="M53:M57"/>
    <mergeCell ref="O45:O52"/>
    <mergeCell ref="P45:P52"/>
    <mergeCell ref="Q45:Q52"/>
    <mergeCell ref="R45:R52"/>
    <mergeCell ref="S45:S52"/>
    <mergeCell ref="A45:A52"/>
    <mergeCell ref="B45:B52"/>
    <mergeCell ref="H45:H52"/>
    <mergeCell ref="I45:I52"/>
    <mergeCell ref="J45:J52"/>
    <mergeCell ref="K45:K52"/>
    <mergeCell ref="L45:L52"/>
    <mergeCell ref="M45:M52"/>
    <mergeCell ref="N45:N52"/>
    <mergeCell ref="P39:P44"/>
    <mergeCell ref="Q39:Q44"/>
    <mergeCell ref="R39:R44"/>
    <mergeCell ref="S39:S44"/>
    <mergeCell ref="K39:K44"/>
    <mergeCell ref="L39:L44"/>
    <mergeCell ref="M39:M44"/>
    <mergeCell ref="N39:N44"/>
    <mergeCell ref="O39:O44"/>
    <mergeCell ref="Q35:Q38"/>
    <mergeCell ref="R35:R38"/>
    <mergeCell ref="S35:S38"/>
    <mergeCell ref="A39:A44"/>
    <mergeCell ref="B39:B44"/>
    <mergeCell ref="H39:H44"/>
    <mergeCell ref="I39:I44"/>
    <mergeCell ref="J39:J44"/>
    <mergeCell ref="K35:K38"/>
    <mergeCell ref="L35:L38"/>
    <mergeCell ref="M35:M38"/>
    <mergeCell ref="N35:N38"/>
    <mergeCell ref="O35:O38"/>
    <mergeCell ref="P35:P38"/>
    <mergeCell ref="Q26:Q34"/>
    <mergeCell ref="R26:R34"/>
    <mergeCell ref="S26:S34"/>
    <mergeCell ref="A35:A38"/>
    <mergeCell ref="B35:B38"/>
    <mergeCell ref="H35:H38"/>
    <mergeCell ref="I35:I38"/>
    <mergeCell ref="J35:J38"/>
    <mergeCell ref="K26:K34"/>
    <mergeCell ref="L26:L34"/>
    <mergeCell ref="M26:M34"/>
    <mergeCell ref="N26:N34"/>
    <mergeCell ref="O26:O34"/>
    <mergeCell ref="P26:P34"/>
    <mergeCell ref="Q19:Q25"/>
    <mergeCell ref="R19:R25"/>
    <mergeCell ref="S19:S25"/>
    <mergeCell ref="A26:A34"/>
    <mergeCell ref="B26:B34"/>
    <mergeCell ref="H26:H34"/>
    <mergeCell ref="I26:I34"/>
    <mergeCell ref="J26:J34"/>
    <mergeCell ref="K19:K25"/>
    <mergeCell ref="L19:L25"/>
    <mergeCell ref="M19:M25"/>
    <mergeCell ref="N19:N25"/>
    <mergeCell ref="O19:O25"/>
    <mergeCell ref="P19:P25"/>
    <mergeCell ref="Q12:Q18"/>
    <mergeCell ref="R12:R18"/>
    <mergeCell ref="S12:S18"/>
    <mergeCell ref="A19:A25"/>
    <mergeCell ref="B19:B25"/>
    <mergeCell ref="H19:H25"/>
    <mergeCell ref="I19:I25"/>
    <mergeCell ref="J19:J25"/>
    <mergeCell ref="K12:K18"/>
    <mergeCell ref="L12:L18"/>
    <mergeCell ref="M12:M18"/>
    <mergeCell ref="N12:N18"/>
    <mergeCell ref="O12:O18"/>
    <mergeCell ref="P12:P18"/>
    <mergeCell ref="Q7:Q11"/>
    <mergeCell ref="R7:R11"/>
    <mergeCell ref="S7:S11"/>
    <mergeCell ref="A12:A18"/>
    <mergeCell ref="B12:B18"/>
    <mergeCell ref="H12:H18"/>
    <mergeCell ref="I12:I18"/>
    <mergeCell ref="J12:J18"/>
    <mergeCell ref="K7:K11"/>
    <mergeCell ref="L7:L11"/>
    <mergeCell ref="M7:M11"/>
    <mergeCell ref="N7:N11"/>
    <mergeCell ref="O7:O11"/>
    <mergeCell ref="P7:P11"/>
    <mergeCell ref="A7:A11"/>
    <mergeCell ref="B7:B11"/>
    <mergeCell ref="H7:H11"/>
    <mergeCell ref="I7:I11"/>
    <mergeCell ref="J7:J11"/>
    <mergeCell ref="A5:A6"/>
    <mergeCell ref="D5:D6"/>
    <mergeCell ref="E5:E6"/>
  </mergeCells>
  <pageMargins left="0.7" right="0.7" top="0.75" bottom="0.75" header="0.3" footer="0.3"/>
  <pageSetup paperSize="9" orientation="landscape" r:id="rId1"/>
  <ignoredErrors>
    <ignoredError sqref="P12:Q12 J3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 Cherednikov</dc:creator>
  <cp:lastModifiedBy>Yaroslav Cherednikov</cp:lastModifiedBy>
  <cp:lastPrinted>2026-06-01T09:41:54Z</cp:lastPrinted>
  <dcterms:created xsi:type="dcterms:W3CDTF">2026-06-01T08:01:33Z</dcterms:created>
  <dcterms:modified xsi:type="dcterms:W3CDTF">2026-06-01T09:44:57Z</dcterms:modified>
</cp:coreProperties>
</file>